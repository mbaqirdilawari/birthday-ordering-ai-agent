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puts" sheetId="2" state="visible" r:id="rId4"/>
    <sheet name="Monthly" sheetId="3" state="visible" r:id="rId5"/>
    <sheet name="Sensitivity" sheetId="4" state="visible" r:id="rId6"/>
  </sheets>
  <definedNames>
    <definedName function="false" hidden="false" name="AOV" vbProcedure="false">Inputs!$B$9</definedName>
    <definedName function="false" hidden="false" name="CostPrint" vbProcedure="false">Inputs!$B$6</definedName>
    <definedName function="false" hidden="false" name="CostSocial" vbProcedure="false">Inputs!$B$5</definedName>
    <definedName function="false" hidden="false" name="CostTrials" vbProcedure="false">Inputs!$B$7</definedName>
    <definedName function="false" hidden="false" name="EarnEvent" vbProcedure="false">Inputs!$B$15</definedName>
    <definedName function="false" hidden="false" name="EarnNormal" vbProcedure="false">Inputs!$B$14</definedName>
    <definedName function="false" hidden="false" name="LaunchCost" vbProcedure="false">Inputs!$B$17</definedName>
    <definedName function="false" hidden="false" name="Margin" vbProcedure="false">Inputs!$B$10</definedName>
    <definedName function="false" hidden="false" name="MonthlyCost" vbProcedure="false">Inputs!$B$8</definedName>
    <definedName function="false" hidden="false" name="Orders1" vbProcedure="false">Inputs!$B$11</definedName>
    <definedName function="false" hidden="false" name="Orders2" vbProcedure="false">Inputs!$B$12</definedName>
    <definedName function="false" hidden="false" name="OrdersSteady" vbProcedure="false">Inputs!$B$13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<sst xmlns="http://schemas.openxmlformats.org/spreadsheetml/2006/main" count="34" uniqueCount="31">
  <si>
    <t xml:space="preserve">Summary</t>
  </si>
  <si>
    <t xml:space="preserve">All numbers are SIMULATED assumptions for illustration. They are not real company figures.</t>
  </si>
  <si>
    <t xml:space="preserve">Total launch cost (PKR)</t>
  </si>
  <si>
    <t xml:space="preserve">Orders to recover launch cost (revenue basis, quick pitch method)</t>
  </si>
  <si>
    <t xml:space="preserve">Month revenue first covers launch cost</t>
  </si>
  <si>
    <t xml:space="preserve">PAYBACK MONTH (margin basis, including running costs)</t>
  </si>
  <si>
    <t xml:space="preserve">Trike seller earnings increase on an event day (PKR)</t>
  </si>
  <si>
    <t xml:space="preserve">Trike seller earnings increase on an event day (percent)</t>
  </si>
  <si>
    <t xml:space="preserve">Birthday Trike Service: Business Case</t>
  </si>
  <si>
    <t xml:space="preserve">Edit the blue cells. Everything else recalculates.</t>
  </si>
  <si>
    <t xml:space="preserve">Launch cost: social media and influencer posts (PKR)</t>
  </si>
  <si>
    <t xml:space="preserve">Launch cost: posters and flyers (PKR)</t>
  </si>
  <si>
    <t xml:space="preserve">Launch cost: trial events (PKR)</t>
  </si>
  <si>
    <t xml:space="preserve">Running cost: event supervision (PKR per month)</t>
  </si>
  <si>
    <t xml:space="preserve">Average order value (PKR)</t>
  </si>
  <si>
    <t xml:space="preserve">Gross margin</t>
  </si>
  <si>
    <t xml:space="preserve">Orders in month 1</t>
  </si>
  <si>
    <t xml:space="preserve">Orders in month 2</t>
  </si>
  <si>
    <t xml:space="preserve">Orders per month from month 3</t>
  </si>
  <si>
    <t xml:space="preserve">Trike seller earnings, normal day (PKR)</t>
  </si>
  <si>
    <t xml:space="preserve">Trike seller earnings, day with an event (PKR)</t>
  </si>
  <si>
    <t xml:space="preserve">Month</t>
  </si>
  <si>
    <t xml:space="preserve">Orders</t>
  </si>
  <si>
    <t xml:space="preserve">Revenue (PKR)</t>
  </si>
  <si>
    <t xml:space="preserve">Gross margin (PKR)</t>
  </si>
  <si>
    <t xml:space="preserve">Cumulative revenue</t>
  </si>
  <si>
    <t xml:space="preserve">Cumulative margin</t>
  </si>
  <si>
    <t xml:space="preserve">Cumulative cost (launch + running)</t>
  </si>
  <si>
    <t xml:space="preserve">Net position</t>
  </si>
  <si>
    <t xml:space="preserve">Payback month (margin basis) by orders per month and average order value</t>
  </si>
  <si>
    <t xml:space="preserve">Orders per month \ Order value (PKR)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</si>
</sst>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"/>
    <numFmt numFmtId="167" formatCode="0%"/>
    <numFmt numFmtId="168" formatCode="#,##0;\(#,##0\)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6F5C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5C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LaunchCost</f>
        <v>1060000</v>
      </c>
    </row>
    <row r="5" customFormat="false" ht="15" hidden="false" customHeight="false" outlineLevel="0" collapsed="false">
      <c r="A5" s="3" t="s">
        <v>3</v>
      </c>
      <c r="B5" s="4" t="n">
        <f aca="false">ROUNDUP(LaunchCost/AOV,0)</f>
        <v>408</v>
      </c>
    </row>
    <row r="6" customFormat="false" ht="15" hidden="false" customHeight="false" outlineLevel="0" collapsed="false">
      <c r="A6" s="3" t="s">
        <v>4</v>
      </c>
      <c r="B6" s="5" t="n">
        <f aca="false">IFERROR(INDEX(Monthly!A2:A37,MATCH(TRUE(),INDEX(Monthly!E2:E37&gt;=LaunchCost,0),0)),"After month 36")</f>
        <v>7</v>
      </c>
    </row>
    <row r="7" customFormat="false" ht="15" hidden="false" customHeight="false" outlineLevel="0" collapsed="false">
      <c r="A7" s="6" t="s">
        <v>5</v>
      </c>
      <c r="B7" s="7" t="n">
        <f aca="false">IF(Orders1*AOV*Margin&gt;=LaunchCost+MonthlyCost,1,IF((Orders1+Orders2)*AOV*Margin&gt;=LaunchCost+2*MonthlyCost,2,IF(OrdersSteady*AOV*Margin&lt;=MonthlyCost,"Never",MAX(3,ROUNDUP((LaunchCost-(Orders1+Orders2)*AOV*Margin+2*OrdersSteady*AOV*Margin)/(OrdersSteady*AOV*Margin-MonthlyCost)-0.000000001,0)))))</f>
        <v>23</v>
      </c>
    </row>
    <row r="8" customFormat="false" ht="15" hidden="false" customHeight="false" outlineLevel="0" collapsed="false">
      <c r="A8" s="3" t="s">
        <v>6</v>
      </c>
      <c r="B8" s="4" t="n">
        <f aca="false">EarnEvent-EarnNormal</f>
        <v>800</v>
      </c>
    </row>
    <row r="9" customFormat="false" ht="15" hidden="false" customHeight="false" outlineLevel="0" collapsed="false">
      <c r="A9" s="3" t="s">
        <v>7</v>
      </c>
      <c r="B9" s="8" t="n">
        <f aca="false">EarnEvent/EarnNormal-1</f>
        <v>0.888888888888889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8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9</v>
      </c>
    </row>
    <row r="5" customFormat="false" ht="15" hidden="false" customHeight="false" outlineLevel="0" collapsed="false">
      <c r="A5" s="3" t="s">
        <v>10</v>
      </c>
      <c r="B5" s="9" t="n">
        <v>900000</v>
      </c>
    </row>
    <row r="6" customFormat="false" ht="15" hidden="false" customHeight="false" outlineLevel="0" collapsed="false">
      <c r="A6" s="3" t="s">
        <v>11</v>
      </c>
      <c r="B6" s="9" t="n">
        <v>150000</v>
      </c>
    </row>
    <row r="7" customFormat="false" ht="15" hidden="false" customHeight="false" outlineLevel="0" collapsed="false">
      <c r="A7" s="3" t="s">
        <v>12</v>
      </c>
      <c r="B7" s="9" t="n">
        <v>10000</v>
      </c>
    </row>
    <row r="8" customFormat="false" ht="15" hidden="false" customHeight="false" outlineLevel="0" collapsed="false">
      <c r="A8" s="3" t="s">
        <v>13</v>
      </c>
      <c r="B8" s="9" t="n">
        <v>40000</v>
      </c>
    </row>
    <row r="9" customFormat="false" ht="15" hidden="false" customHeight="false" outlineLevel="0" collapsed="false">
      <c r="A9" s="3" t="s">
        <v>14</v>
      </c>
      <c r="B9" s="9" t="n">
        <v>2600</v>
      </c>
    </row>
    <row r="10" customFormat="false" ht="15" hidden="false" customHeight="false" outlineLevel="0" collapsed="false">
      <c r="A10" s="3" t="s">
        <v>15</v>
      </c>
      <c r="B10" s="10" t="n">
        <v>0.45</v>
      </c>
    </row>
    <row r="11" customFormat="false" ht="15" hidden="false" customHeight="false" outlineLevel="0" collapsed="false">
      <c r="A11" s="3" t="s">
        <v>16</v>
      </c>
      <c r="B11" s="11" t="n">
        <v>15</v>
      </c>
    </row>
    <row r="12" customFormat="false" ht="15" hidden="false" customHeight="false" outlineLevel="0" collapsed="false">
      <c r="A12" s="3" t="s">
        <v>17</v>
      </c>
      <c r="B12" s="11" t="n">
        <v>35</v>
      </c>
    </row>
    <row r="13" customFormat="false" ht="15" hidden="false" customHeight="false" outlineLevel="0" collapsed="false">
      <c r="A13" s="3" t="s">
        <v>18</v>
      </c>
      <c r="B13" s="11" t="n">
        <v>80</v>
      </c>
    </row>
    <row r="14" customFormat="false" ht="15" hidden="false" customHeight="false" outlineLevel="0" collapsed="false">
      <c r="A14" s="3" t="s">
        <v>19</v>
      </c>
      <c r="B14" s="9" t="n">
        <v>900</v>
      </c>
    </row>
    <row r="15" customFormat="false" ht="15" hidden="false" customHeight="false" outlineLevel="0" collapsed="false">
      <c r="A15" s="3" t="s">
        <v>20</v>
      </c>
      <c r="B15" s="9" t="n">
        <v>1700</v>
      </c>
    </row>
    <row r="17" customFormat="false" ht="15" hidden="false" customHeight="false" outlineLevel="0" collapsed="false">
      <c r="A17" s="6" t="s">
        <v>2</v>
      </c>
      <c r="B17" s="12" t="n">
        <f aca="false">CostSocial+CostPrint+CostTrials</f>
        <v>1060000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8"/>
  </cols>
  <sheetData>
    <row r="1" customFormat="false" ht="39.55" hidden="false" customHeight="false" outlineLevel="0" collapsed="false">
      <c r="A1" s="13" t="s">
        <v>21</v>
      </c>
      <c r="B1" s="13" t="s">
        <v>22</v>
      </c>
      <c r="C1" s="13" t="s">
        <v>23</v>
      </c>
      <c r="D1" s="13" t="s">
        <v>24</v>
      </c>
      <c r="E1" s="13" t="s">
        <v>25</v>
      </c>
      <c r="F1" s="13" t="s">
        <v>26</v>
      </c>
      <c r="G1" s="13" t="s">
        <v>27</v>
      </c>
      <c r="H1" s="13" t="s">
        <v>28</v>
      </c>
    </row>
    <row r="2" customFormat="false" ht="15" hidden="false" customHeight="false" outlineLevel="0" collapsed="false">
      <c r="A2" s="3" t="n">
        <v>1</v>
      </c>
      <c r="B2" s="5" t="n">
        <f aca="false">IF(A2=1,Orders1,IF(A2=2,Orders2,OrdersSteady))</f>
        <v>15</v>
      </c>
      <c r="C2" s="14" t="n">
        <f aca="false">B2*AOV</f>
        <v>39000</v>
      </c>
      <c r="D2" s="14" t="n">
        <f aca="false">C2*Margin</f>
        <v>17550</v>
      </c>
      <c r="E2" s="14" t="n">
        <f aca="false">SUM($C$2:C2)</f>
        <v>39000</v>
      </c>
      <c r="F2" s="14" t="n">
        <f aca="false">SUM($D$2:D2)</f>
        <v>17550</v>
      </c>
      <c r="G2" s="14" t="n">
        <f aca="false">LaunchCost+MonthlyCost*A2</f>
        <v>1100000</v>
      </c>
      <c r="H2" s="14" t="n">
        <f aca="false">F2-G2</f>
        <v>-1082450</v>
      </c>
    </row>
    <row r="3" customFormat="false" ht="15" hidden="false" customHeight="false" outlineLevel="0" collapsed="false">
      <c r="A3" s="3" t="n">
        <v>2</v>
      </c>
      <c r="B3" s="5" t="n">
        <f aca="false">IF(A3=1,Orders1,IF(A3=2,Orders2,OrdersSteady))</f>
        <v>35</v>
      </c>
      <c r="C3" s="14" t="n">
        <f aca="false">B3*AOV</f>
        <v>91000</v>
      </c>
      <c r="D3" s="14" t="n">
        <f aca="false">C3*Margin</f>
        <v>40950</v>
      </c>
      <c r="E3" s="14" t="n">
        <f aca="false">SUM($C$2:C3)</f>
        <v>130000</v>
      </c>
      <c r="F3" s="14" t="n">
        <f aca="false">SUM($D$2:D3)</f>
        <v>58500</v>
      </c>
      <c r="G3" s="14" t="n">
        <f aca="false">LaunchCost+MonthlyCost*A3</f>
        <v>1140000</v>
      </c>
      <c r="H3" s="14" t="n">
        <f aca="false">F3-G3</f>
        <v>-1081500</v>
      </c>
    </row>
    <row r="4" customFormat="false" ht="15" hidden="false" customHeight="false" outlineLevel="0" collapsed="false">
      <c r="A4" s="3" t="n">
        <v>3</v>
      </c>
      <c r="B4" s="5" t="n">
        <f aca="false">IF(A4=1,Orders1,IF(A4=2,Orders2,OrdersSteady))</f>
        <v>80</v>
      </c>
      <c r="C4" s="14" t="n">
        <f aca="false">B4*AOV</f>
        <v>208000</v>
      </c>
      <c r="D4" s="14" t="n">
        <f aca="false">C4*Margin</f>
        <v>93600</v>
      </c>
      <c r="E4" s="14" t="n">
        <f aca="false">SUM($C$2:C4)</f>
        <v>338000</v>
      </c>
      <c r="F4" s="14" t="n">
        <f aca="false">SUM($D$2:D4)</f>
        <v>152100</v>
      </c>
      <c r="G4" s="14" t="n">
        <f aca="false">LaunchCost+MonthlyCost*A4</f>
        <v>1180000</v>
      </c>
      <c r="H4" s="14" t="n">
        <f aca="false">F4-G4</f>
        <v>-1027900</v>
      </c>
    </row>
    <row r="5" customFormat="false" ht="15" hidden="false" customHeight="false" outlineLevel="0" collapsed="false">
      <c r="A5" s="3" t="n">
        <v>4</v>
      </c>
      <c r="B5" s="5" t="n">
        <f aca="false">IF(A5=1,Orders1,IF(A5=2,Orders2,OrdersSteady))</f>
        <v>80</v>
      </c>
      <c r="C5" s="14" t="n">
        <f aca="false">B5*AOV</f>
        <v>208000</v>
      </c>
      <c r="D5" s="14" t="n">
        <f aca="false">C5*Margin</f>
        <v>93600</v>
      </c>
      <c r="E5" s="14" t="n">
        <f aca="false">SUM($C$2:C5)</f>
        <v>546000</v>
      </c>
      <c r="F5" s="14" t="n">
        <f aca="false">SUM($D$2:D5)</f>
        <v>245700</v>
      </c>
      <c r="G5" s="14" t="n">
        <f aca="false">LaunchCost+MonthlyCost*A5</f>
        <v>1220000</v>
      </c>
      <c r="H5" s="14" t="n">
        <f aca="false">F5-G5</f>
        <v>-974300</v>
      </c>
    </row>
    <row r="6" customFormat="false" ht="15" hidden="false" customHeight="false" outlineLevel="0" collapsed="false">
      <c r="A6" s="3" t="n">
        <v>5</v>
      </c>
      <c r="B6" s="5" t="n">
        <f aca="false">IF(A6=1,Orders1,IF(A6=2,Orders2,OrdersSteady))</f>
        <v>80</v>
      </c>
      <c r="C6" s="14" t="n">
        <f aca="false">B6*AOV</f>
        <v>208000</v>
      </c>
      <c r="D6" s="14" t="n">
        <f aca="false">C6*Margin</f>
        <v>93600</v>
      </c>
      <c r="E6" s="14" t="n">
        <f aca="false">SUM($C$2:C6)</f>
        <v>754000</v>
      </c>
      <c r="F6" s="14" t="n">
        <f aca="false">SUM($D$2:D6)</f>
        <v>339300</v>
      </c>
      <c r="G6" s="14" t="n">
        <f aca="false">LaunchCost+MonthlyCost*A6</f>
        <v>1260000</v>
      </c>
      <c r="H6" s="14" t="n">
        <f aca="false">F6-G6</f>
        <v>-920700</v>
      </c>
    </row>
    <row r="7" customFormat="false" ht="15" hidden="false" customHeight="false" outlineLevel="0" collapsed="false">
      <c r="A7" s="3" t="n">
        <v>6</v>
      </c>
      <c r="B7" s="5" t="n">
        <f aca="false">IF(A7=1,Orders1,IF(A7=2,Orders2,OrdersSteady))</f>
        <v>80</v>
      </c>
      <c r="C7" s="14" t="n">
        <f aca="false">B7*AOV</f>
        <v>208000</v>
      </c>
      <c r="D7" s="14" t="n">
        <f aca="false">C7*Margin</f>
        <v>93600</v>
      </c>
      <c r="E7" s="14" t="n">
        <f aca="false">SUM($C$2:C7)</f>
        <v>962000</v>
      </c>
      <c r="F7" s="14" t="n">
        <f aca="false">SUM($D$2:D7)</f>
        <v>432900</v>
      </c>
      <c r="G7" s="14" t="n">
        <f aca="false">LaunchCost+MonthlyCost*A7</f>
        <v>1300000</v>
      </c>
      <c r="H7" s="14" t="n">
        <f aca="false">F7-G7</f>
        <v>-867100</v>
      </c>
    </row>
    <row r="8" customFormat="false" ht="15" hidden="false" customHeight="false" outlineLevel="0" collapsed="false">
      <c r="A8" s="3" t="n">
        <v>7</v>
      </c>
      <c r="B8" s="5" t="n">
        <f aca="false">IF(A8=1,Orders1,IF(A8=2,Orders2,OrdersSteady))</f>
        <v>80</v>
      </c>
      <c r="C8" s="14" t="n">
        <f aca="false">B8*AOV</f>
        <v>208000</v>
      </c>
      <c r="D8" s="14" t="n">
        <f aca="false">C8*Margin</f>
        <v>93600</v>
      </c>
      <c r="E8" s="14" t="n">
        <f aca="false">SUM($C$2:C8)</f>
        <v>1170000</v>
      </c>
      <c r="F8" s="14" t="n">
        <f aca="false">SUM($D$2:D8)</f>
        <v>526500</v>
      </c>
      <c r="G8" s="14" t="n">
        <f aca="false">LaunchCost+MonthlyCost*A8</f>
        <v>1340000</v>
      </c>
      <c r="H8" s="14" t="n">
        <f aca="false">F8-G8</f>
        <v>-813500</v>
      </c>
    </row>
    <row r="9" customFormat="false" ht="15" hidden="false" customHeight="false" outlineLevel="0" collapsed="false">
      <c r="A9" s="3" t="n">
        <v>8</v>
      </c>
      <c r="B9" s="5" t="n">
        <f aca="false">IF(A9=1,Orders1,IF(A9=2,Orders2,OrdersSteady))</f>
        <v>80</v>
      </c>
      <c r="C9" s="14" t="n">
        <f aca="false">B9*AOV</f>
        <v>208000</v>
      </c>
      <c r="D9" s="14" t="n">
        <f aca="false">C9*Margin</f>
        <v>93600</v>
      </c>
      <c r="E9" s="14" t="n">
        <f aca="false">SUM($C$2:C9)</f>
        <v>1378000</v>
      </c>
      <c r="F9" s="14" t="n">
        <f aca="false">SUM($D$2:D9)</f>
        <v>620100</v>
      </c>
      <c r="G9" s="14" t="n">
        <f aca="false">LaunchCost+MonthlyCost*A9</f>
        <v>1380000</v>
      </c>
      <c r="H9" s="14" t="n">
        <f aca="false">F9-G9</f>
        <v>-759900</v>
      </c>
    </row>
    <row r="10" customFormat="false" ht="15" hidden="false" customHeight="false" outlineLevel="0" collapsed="false">
      <c r="A10" s="3" t="n">
        <v>9</v>
      </c>
      <c r="B10" s="5" t="n">
        <f aca="false">IF(A10=1,Orders1,IF(A10=2,Orders2,OrdersSteady))</f>
        <v>80</v>
      </c>
      <c r="C10" s="14" t="n">
        <f aca="false">B10*AOV</f>
        <v>208000</v>
      </c>
      <c r="D10" s="14" t="n">
        <f aca="false">C10*Margin</f>
        <v>93600</v>
      </c>
      <c r="E10" s="14" t="n">
        <f aca="false">SUM($C$2:C10)</f>
        <v>1586000</v>
      </c>
      <c r="F10" s="14" t="n">
        <f aca="false">SUM($D$2:D10)</f>
        <v>713700</v>
      </c>
      <c r="G10" s="14" t="n">
        <f aca="false">LaunchCost+MonthlyCost*A10</f>
        <v>1420000</v>
      </c>
      <c r="H10" s="14" t="n">
        <f aca="false">F10-G10</f>
        <v>-706300</v>
      </c>
    </row>
    <row r="11" customFormat="false" ht="15" hidden="false" customHeight="false" outlineLevel="0" collapsed="false">
      <c r="A11" s="3" t="n">
        <v>10</v>
      </c>
      <c r="B11" s="5" t="n">
        <f aca="false">IF(A11=1,Orders1,IF(A11=2,Orders2,OrdersSteady))</f>
        <v>80</v>
      </c>
      <c r="C11" s="14" t="n">
        <f aca="false">B11*AOV</f>
        <v>208000</v>
      </c>
      <c r="D11" s="14" t="n">
        <f aca="false">C11*Margin</f>
        <v>93600</v>
      </c>
      <c r="E11" s="14" t="n">
        <f aca="false">SUM($C$2:C11)</f>
        <v>1794000</v>
      </c>
      <c r="F11" s="14" t="n">
        <f aca="false">SUM($D$2:D11)</f>
        <v>807300</v>
      </c>
      <c r="G11" s="14" t="n">
        <f aca="false">LaunchCost+MonthlyCost*A11</f>
        <v>1460000</v>
      </c>
      <c r="H11" s="14" t="n">
        <f aca="false">F11-G11</f>
        <v>-652700</v>
      </c>
    </row>
    <row r="12" customFormat="false" ht="15" hidden="false" customHeight="false" outlineLevel="0" collapsed="false">
      <c r="A12" s="3" t="n">
        <v>11</v>
      </c>
      <c r="B12" s="5" t="n">
        <f aca="false">IF(A12=1,Orders1,IF(A12=2,Orders2,OrdersSteady))</f>
        <v>80</v>
      </c>
      <c r="C12" s="14" t="n">
        <f aca="false">B12*AOV</f>
        <v>208000</v>
      </c>
      <c r="D12" s="14" t="n">
        <f aca="false">C12*Margin</f>
        <v>93600</v>
      </c>
      <c r="E12" s="14" t="n">
        <f aca="false">SUM($C$2:C12)</f>
        <v>2002000</v>
      </c>
      <c r="F12" s="14" t="n">
        <f aca="false">SUM($D$2:D12)</f>
        <v>900900</v>
      </c>
      <c r="G12" s="14" t="n">
        <f aca="false">LaunchCost+MonthlyCost*A12</f>
        <v>1500000</v>
      </c>
      <c r="H12" s="14" t="n">
        <f aca="false">F12-G12</f>
        <v>-599100</v>
      </c>
    </row>
    <row r="13" customFormat="false" ht="15" hidden="false" customHeight="false" outlineLevel="0" collapsed="false">
      <c r="A13" s="3" t="n">
        <v>12</v>
      </c>
      <c r="B13" s="5" t="n">
        <f aca="false">IF(A13=1,Orders1,IF(A13=2,Orders2,OrdersSteady))</f>
        <v>80</v>
      </c>
      <c r="C13" s="14" t="n">
        <f aca="false">B13*AOV</f>
        <v>208000</v>
      </c>
      <c r="D13" s="14" t="n">
        <f aca="false">C13*Margin</f>
        <v>93600</v>
      </c>
      <c r="E13" s="14" t="n">
        <f aca="false">SUM($C$2:C13)</f>
        <v>2210000</v>
      </c>
      <c r="F13" s="14" t="n">
        <f aca="false">SUM($D$2:D13)</f>
        <v>994500</v>
      </c>
      <c r="G13" s="14" t="n">
        <f aca="false">LaunchCost+MonthlyCost*A13</f>
        <v>1540000</v>
      </c>
      <c r="H13" s="14" t="n">
        <f aca="false">F13-G13</f>
        <v>-545500</v>
      </c>
    </row>
    <row r="14" customFormat="false" ht="15" hidden="false" customHeight="false" outlineLevel="0" collapsed="false">
      <c r="A14" s="3" t="n">
        <v>13</v>
      </c>
      <c r="B14" s="5" t="n">
        <f aca="false">IF(A14=1,Orders1,IF(A14=2,Orders2,OrdersSteady))</f>
        <v>80</v>
      </c>
      <c r="C14" s="14" t="n">
        <f aca="false">B14*AOV</f>
        <v>208000</v>
      </c>
      <c r="D14" s="14" t="n">
        <f aca="false">C14*Margin</f>
        <v>93600</v>
      </c>
      <c r="E14" s="14" t="n">
        <f aca="false">SUM($C$2:C14)</f>
        <v>2418000</v>
      </c>
      <c r="F14" s="14" t="n">
        <f aca="false">SUM($D$2:D14)</f>
        <v>1088100</v>
      </c>
      <c r="G14" s="14" t="n">
        <f aca="false">LaunchCost+MonthlyCost*A14</f>
        <v>1580000</v>
      </c>
      <c r="H14" s="14" t="n">
        <f aca="false">F14-G14</f>
        <v>-491900</v>
      </c>
    </row>
    <row r="15" customFormat="false" ht="15" hidden="false" customHeight="false" outlineLevel="0" collapsed="false">
      <c r="A15" s="3" t="n">
        <v>14</v>
      </c>
      <c r="B15" s="5" t="n">
        <f aca="false">IF(A15=1,Orders1,IF(A15=2,Orders2,OrdersSteady))</f>
        <v>80</v>
      </c>
      <c r="C15" s="14" t="n">
        <f aca="false">B15*AOV</f>
        <v>208000</v>
      </c>
      <c r="D15" s="14" t="n">
        <f aca="false">C15*Margin</f>
        <v>93600</v>
      </c>
      <c r="E15" s="14" t="n">
        <f aca="false">SUM($C$2:C15)</f>
        <v>2626000</v>
      </c>
      <c r="F15" s="14" t="n">
        <f aca="false">SUM($D$2:D15)</f>
        <v>1181700</v>
      </c>
      <c r="G15" s="14" t="n">
        <f aca="false">LaunchCost+MonthlyCost*A15</f>
        <v>1620000</v>
      </c>
      <c r="H15" s="14" t="n">
        <f aca="false">F15-G15</f>
        <v>-438300</v>
      </c>
    </row>
    <row r="16" customFormat="false" ht="15" hidden="false" customHeight="false" outlineLevel="0" collapsed="false">
      <c r="A16" s="3" t="n">
        <v>15</v>
      </c>
      <c r="B16" s="5" t="n">
        <f aca="false">IF(A16=1,Orders1,IF(A16=2,Orders2,OrdersSteady))</f>
        <v>80</v>
      </c>
      <c r="C16" s="14" t="n">
        <f aca="false">B16*AOV</f>
        <v>208000</v>
      </c>
      <c r="D16" s="14" t="n">
        <f aca="false">C16*Margin</f>
        <v>93600</v>
      </c>
      <c r="E16" s="14" t="n">
        <f aca="false">SUM($C$2:C16)</f>
        <v>2834000</v>
      </c>
      <c r="F16" s="14" t="n">
        <f aca="false">SUM($D$2:D16)</f>
        <v>1275300</v>
      </c>
      <c r="G16" s="14" t="n">
        <f aca="false">LaunchCost+MonthlyCost*A16</f>
        <v>1660000</v>
      </c>
      <c r="H16" s="14" t="n">
        <f aca="false">F16-G16</f>
        <v>-384700</v>
      </c>
    </row>
    <row r="17" customFormat="false" ht="15" hidden="false" customHeight="false" outlineLevel="0" collapsed="false">
      <c r="A17" s="3" t="n">
        <v>16</v>
      </c>
      <c r="B17" s="5" t="n">
        <f aca="false">IF(A17=1,Orders1,IF(A17=2,Orders2,OrdersSteady))</f>
        <v>80</v>
      </c>
      <c r="C17" s="14" t="n">
        <f aca="false">B17*AOV</f>
        <v>208000</v>
      </c>
      <c r="D17" s="14" t="n">
        <f aca="false">C17*Margin</f>
        <v>93600</v>
      </c>
      <c r="E17" s="14" t="n">
        <f aca="false">SUM($C$2:C17)</f>
        <v>3042000</v>
      </c>
      <c r="F17" s="14" t="n">
        <f aca="false">SUM($D$2:D17)</f>
        <v>1368900</v>
      </c>
      <c r="G17" s="14" t="n">
        <f aca="false">LaunchCost+MonthlyCost*A17</f>
        <v>1700000</v>
      </c>
      <c r="H17" s="14" t="n">
        <f aca="false">F17-G17</f>
        <v>-331100</v>
      </c>
    </row>
    <row r="18" customFormat="false" ht="15" hidden="false" customHeight="false" outlineLevel="0" collapsed="false">
      <c r="A18" s="3" t="n">
        <v>17</v>
      </c>
      <c r="B18" s="5" t="n">
        <f aca="false">IF(A18=1,Orders1,IF(A18=2,Orders2,OrdersSteady))</f>
        <v>80</v>
      </c>
      <c r="C18" s="14" t="n">
        <f aca="false">B18*AOV</f>
        <v>208000</v>
      </c>
      <c r="D18" s="14" t="n">
        <f aca="false">C18*Margin</f>
        <v>93600</v>
      </c>
      <c r="E18" s="14" t="n">
        <f aca="false">SUM($C$2:C18)</f>
        <v>3250000</v>
      </c>
      <c r="F18" s="14" t="n">
        <f aca="false">SUM($D$2:D18)</f>
        <v>1462500</v>
      </c>
      <c r="G18" s="14" t="n">
        <f aca="false">LaunchCost+MonthlyCost*A18</f>
        <v>1740000</v>
      </c>
      <c r="H18" s="14" t="n">
        <f aca="false">F18-G18</f>
        <v>-277500</v>
      </c>
    </row>
    <row r="19" customFormat="false" ht="15" hidden="false" customHeight="false" outlineLevel="0" collapsed="false">
      <c r="A19" s="3" t="n">
        <v>18</v>
      </c>
      <c r="B19" s="5" t="n">
        <f aca="false">IF(A19=1,Orders1,IF(A19=2,Orders2,OrdersSteady))</f>
        <v>80</v>
      </c>
      <c r="C19" s="14" t="n">
        <f aca="false">B19*AOV</f>
        <v>208000</v>
      </c>
      <c r="D19" s="14" t="n">
        <f aca="false">C19*Margin</f>
        <v>93600</v>
      </c>
      <c r="E19" s="14" t="n">
        <f aca="false">SUM($C$2:C19)</f>
        <v>3458000</v>
      </c>
      <c r="F19" s="14" t="n">
        <f aca="false">SUM($D$2:D19)</f>
        <v>1556100</v>
      </c>
      <c r="G19" s="14" t="n">
        <f aca="false">LaunchCost+MonthlyCost*A19</f>
        <v>1780000</v>
      </c>
      <c r="H19" s="14" t="n">
        <f aca="false">F19-G19</f>
        <v>-223900</v>
      </c>
    </row>
    <row r="20" customFormat="false" ht="15" hidden="false" customHeight="false" outlineLevel="0" collapsed="false">
      <c r="A20" s="3" t="n">
        <v>19</v>
      </c>
      <c r="B20" s="5" t="n">
        <f aca="false">IF(A20=1,Orders1,IF(A20=2,Orders2,OrdersSteady))</f>
        <v>80</v>
      </c>
      <c r="C20" s="14" t="n">
        <f aca="false">B20*AOV</f>
        <v>208000</v>
      </c>
      <c r="D20" s="14" t="n">
        <f aca="false">C20*Margin</f>
        <v>93600</v>
      </c>
      <c r="E20" s="14" t="n">
        <f aca="false">SUM($C$2:C20)</f>
        <v>3666000</v>
      </c>
      <c r="F20" s="14" t="n">
        <f aca="false">SUM($D$2:D20)</f>
        <v>1649700</v>
      </c>
      <c r="G20" s="14" t="n">
        <f aca="false">LaunchCost+MonthlyCost*A20</f>
        <v>1820000</v>
      </c>
      <c r="H20" s="14" t="n">
        <f aca="false">F20-G20</f>
        <v>-170300</v>
      </c>
    </row>
    <row r="21" customFormat="false" ht="15" hidden="false" customHeight="false" outlineLevel="0" collapsed="false">
      <c r="A21" s="3" t="n">
        <v>20</v>
      </c>
      <c r="B21" s="5" t="n">
        <f aca="false">IF(A21=1,Orders1,IF(A21=2,Orders2,OrdersSteady))</f>
        <v>80</v>
      </c>
      <c r="C21" s="14" t="n">
        <f aca="false">B21*AOV</f>
        <v>208000</v>
      </c>
      <c r="D21" s="14" t="n">
        <f aca="false">C21*Margin</f>
        <v>93600</v>
      </c>
      <c r="E21" s="14" t="n">
        <f aca="false">SUM($C$2:C21)</f>
        <v>3874000</v>
      </c>
      <c r="F21" s="14" t="n">
        <f aca="false">SUM($D$2:D21)</f>
        <v>1743300</v>
      </c>
      <c r="G21" s="14" t="n">
        <f aca="false">LaunchCost+MonthlyCost*A21</f>
        <v>1860000</v>
      </c>
      <c r="H21" s="14" t="n">
        <f aca="false">F21-G21</f>
        <v>-116700</v>
      </c>
    </row>
    <row r="22" customFormat="false" ht="15" hidden="false" customHeight="false" outlineLevel="0" collapsed="false">
      <c r="A22" s="3" t="n">
        <v>21</v>
      </c>
      <c r="B22" s="5" t="n">
        <f aca="false">IF(A22=1,Orders1,IF(A22=2,Orders2,OrdersSteady))</f>
        <v>80</v>
      </c>
      <c r="C22" s="14" t="n">
        <f aca="false">B22*AOV</f>
        <v>208000</v>
      </c>
      <c r="D22" s="14" t="n">
        <f aca="false">C22*Margin</f>
        <v>93600</v>
      </c>
      <c r="E22" s="14" t="n">
        <f aca="false">SUM($C$2:C22)</f>
        <v>4082000</v>
      </c>
      <c r="F22" s="14" t="n">
        <f aca="false">SUM($D$2:D22)</f>
        <v>1836900</v>
      </c>
      <c r="G22" s="14" t="n">
        <f aca="false">LaunchCost+MonthlyCost*A22</f>
        <v>1900000</v>
      </c>
      <c r="H22" s="14" t="n">
        <f aca="false">F22-G22</f>
        <v>-63100</v>
      </c>
    </row>
    <row r="23" customFormat="false" ht="15" hidden="false" customHeight="false" outlineLevel="0" collapsed="false">
      <c r="A23" s="3" t="n">
        <v>22</v>
      </c>
      <c r="B23" s="5" t="n">
        <f aca="false">IF(A23=1,Orders1,IF(A23=2,Orders2,OrdersSteady))</f>
        <v>80</v>
      </c>
      <c r="C23" s="14" t="n">
        <f aca="false">B23*AOV</f>
        <v>208000</v>
      </c>
      <c r="D23" s="14" t="n">
        <f aca="false">C23*Margin</f>
        <v>93600</v>
      </c>
      <c r="E23" s="14" t="n">
        <f aca="false">SUM($C$2:C23)</f>
        <v>4290000</v>
      </c>
      <c r="F23" s="14" t="n">
        <f aca="false">SUM($D$2:D23)</f>
        <v>1930500</v>
      </c>
      <c r="G23" s="14" t="n">
        <f aca="false">LaunchCost+MonthlyCost*A23</f>
        <v>1940000</v>
      </c>
      <c r="H23" s="14" t="n">
        <f aca="false">F23-G23</f>
        <v>-9500</v>
      </c>
    </row>
    <row r="24" customFormat="false" ht="15" hidden="false" customHeight="false" outlineLevel="0" collapsed="false">
      <c r="A24" s="3" t="n">
        <v>23</v>
      </c>
      <c r="B24" s="5" t="n">
        <f aca="false">IF(A24=1,Orders1,IF(A24=2,Orders2,OrdersSteady))</f>
        <v>80</v>
      </c>
      <c r="C24" s="14" t="n">
        <f aca="false">B24*AOV</f>
        <v>208000</v>
      </c>
      <c r="D24" s="14" t="n">
        <f aca="false">C24*Margin</f>
        <v>93600</v>
      </c>
      <c r="E24" s="14" t="n">
        <f aca="false">SUM($C$2:C24)</f>
        <v>4498000</v>
      </c>
      <c r="F24" s="14" t="n">
        <f aca="false">SUM($D$2:D24)</f>
        <v>2024100</v>
      </c>
      <c r="G24" s="14" t="n">
        <f aca="false">LaunchCost+MonthlyCost*A24</f>
        <v>1980000</v>
      </c>
      <c r="H24" s="14" t="n">
        <f aca="false">F24-G24</f>
        <v>44100</v>
      </c>
    </row>
    <row r="25" customFormat="false" ht="15" hidden="false" customHeight="false" outlineLevel="0" collapsed="false">
      <c r="A25" s="3" t="n">
        <v>24</v>
      </c>
      <c r="B25" s="5" t="n">
        <f aca="false">IF(A25=1,Orders1,IF(A25=2,Orders2,OrdersSteady))</f>
        <v>80</v>
      </c>
      <c r="C25" s="14" t="n">
        <f aca="false">B25*AOV</f>
        <v>208000</v>
      </c>
      <c r="D25" s="14" t="n">
        <f aca="false">C25*Margin</f>
        <v>93600</v>
      </c>
      <c r="E25" s="14" t="n">
        <f aca="false">SUM($C$2:C25)</f>
        <v>4706000</v>
      </c>
      <c r="F25" s="14" t="n">
        <f aca="false">SUM($D$2:D25)</f>
        <v>2117700</v>
      </c>
      <c r="G25" s="14" t="n">
        <f aca="false">LaunchCost+MonthlyCost*A25</f>
        <v>2020000</v>
      </c>
      <c r="H25" s="14" t="n">
        <f aca="false">F25-G25</f>
        <v>97700</v>
      </c>
    </row>
    <row r="26" customFormat="false" ht="15" hidden="false" customHeight="false" outlineLevel="0" collapsed="false">
      <c r="A26" s="3" t="n">
        <v>25</v>
      </c>
      <c r="B26" s="5" t="n">
        <f aca="false">IF(A26=1,Orders1,IF(A26=2,Orders2,OrdersSteady))</f>
        <v>80</v>
      </c>
      <c r="C26" s="14" t="n">
        <f aca="false">B26*AOV</f>
        <v>208000</v>
      </c>
      <c r="D26" s="14" t="n">
        <f aca="false">C26*Margin</f>
        <v>93600</v>
      </c>
      <c r="E26" s="14" t="n">
        <f aca="false">SUM($C$2:C26)</f>
        <v>4914000</v>
      </c>
      <c r="F26" s="14" t="n">
        <f aca="false">SUM($D$2:D26)</f>
        <v>2211300</v>
      </c>
      <c r="G26" s="14" t="n">
        <f aca="false">LaunchCost+MonthlyCost*A26</f>
        <v>2060000</v>
      </c>
      <c r="H26" s="14" t="n">
        <f aca="false">F26-G26</f>
        <v>151300</v>
      </c>
    </row>
    <row r="27" customFormat="false" ht="15" hidden="false" customHeight="false" outlineLevel="0" collapsed="false">
      <c r="A27" s="3" t="n">
        <v>26</v>
      </c>
      <c r="B27" s="5" t="n">
        <f aca="false">IF(A27=1,Orders1,IF(A27=2,Orders2,OrdersSteady))</f>
        <v>80</v>
      </c>
      <c r="C27" s="14" t="n">
        <f aca="false">B27*AOV</f>
        <v>208000</v>
      </c>
      <c r="D27" s="14" t="n">
        <f aca="false">C27*Margin</f>
        <v>93600</v>
      </c>
      <c r="E27" s="14" t="n">
        <f aca="false">SUM($C$2:C27)</f>
        <v>5122000</v>
      </c>
      <c r="F27" s="14" t="n">
        <f aca="false">SUM($D$2:D27)</f>
        <v>2304900</v>
      </c>
      <c r="G27" s="14" t="n">
        <f aca="false">LaunchCost+MonthlyCost*A27</f>
        <v>2100000</v>
      </c>
      <c r="H27" s="14" t="n">
        <f aca="false">F27-G27</f>
        <v>204900</v>
      </c>
    </row>
    <row r="28" customFormat="false" ht="15" hidden="false" customHeight="false" outlineLevel="0" collapsed="false">
      <c r="A28" s="3" t="n">
        <v>27</v>
      </c>
      <c r="B28" s="5" t="n">
        <f aca="false">IF(A28=1,Orders1,IF(A28=2,Orders2,OrdersSteady))</f>
        <v>80</v>
      </c>
      <c r="C28" s="14" t="n">
        <f aca="false">B28*AOV</f>
        <v>208000</v>
      </c>
      <c r="D28" s="14" t="n">
        <f aca="false">C28*Margin</f>
        <v>93600</v>
      </c>
      <c r="E28" s="14" t="n">
        <f aca="false">SUM($C$2:C28)</f>
        <v>5330000</v>
      </c>
      <c r="F28" s="14" t="n">
        <f aca="false">SUM($D$2:D28)</f>
        <v>2398500</v>
      </c>
      <c r="G28" s="14" t="n">
        <f aca="false">LaunchCost+MonthlyCost*A28</f>
        <v>2140000</v>
      </c>
      <c r="H28" s="14" t="n">
        <f aca="false">F28-G28</f>
        <v>258500</v>
      </c>
    </row>
    <row r="29" customFormat="false" ht="15" hidden="false" customHeight="false" outlineLevel="0" collapsed="false">
      <c r="A29" s="3" t="n">
        <v>28</v>
      </c>
      <c r="B29" s="5" t="n">
        <f aca="false">IF(A29=1,Orders1,IF(A29=2,Orders2,OrdersSteady))</f>
        <v>80</v>
      </c>
      <c r="C29" s="14" t="n">
        <f aca="false">B29*AOV</f>
        <v>208000</v>
      </c>
      <c r="D29" s="14" t="n">
        <f aca="false">C29*Margin</f>
        <v>93600</v>
      </c>
      <c r="E29" s="14" t="n">
        <f aca="false">SUM($C$2:C29)</f>
        <v>5538000</v>
      </c>
      <c r="F29" s="14" t="n">
        <f aca="false">SUM($D$2:D29)</f>
        <v>2492100</v>
      </c>
      <c r="G29" s="14" t="n">
        <f aca="false">LaunchCost+MonthlyCost*A29</f>
        <v>2180000</v>
      </c>
      <c r="H29" s="14" t="n">
        <f aca="false">F29-G29</f>
        <v>312100</v>
      </c>
    </row>
    <row r="30" customFormat="false" ht="15" hidden="false" customHeight="false" outlineLevel="0" collapsed="false">
      <c r="A30" s="3" t="n">
        <v>29</v>
      </c>
      <c r="B30" s="5" t="n">
        <f aca="false">IF(A30=1,Orders1,IF(A30=2,Orders2,OrdersSteady))</f>
        <v>80</v>
      </c>
      <c r="C30" s="14" t="n">
        <f aca="false">B30*AOV</f>
        <v>208000</v>
      </c>
      <c r="D30" s="14" t="n">
        <f aca="false">C30*Margin</f>
        <v>93600</v>
      </c>
      <c r="E30" s="14" t="n">
        <f aca="false">SUM($C$2:C30)</f>
        <v>5746000</v>
      </c>
      <c r="F30" s="14" t="n">
        <f aca="false">SUM($D$2:D30)</f>
        <v>2585700</v>
      </c>
      <c r="G30" s="14" t="n">
        <f aca="false">LaunchCost+MonthlyCost*A30</f>
        <v>2220000</v>
      </c>
      <c r="H30" s="14" t="n">
        <f aca="false">F30-G30</f>
        <v>365700</v>
      </c>
    </row>
    <row r="31" customFormat="false" ht="15" hidden="false" customHeight="false" outlineLevel="0" collapsed="false">
      <c r="A31" s="3" t="n">
        <v>30</v>
      </c>
      <c r="B31" s="5" t="n">
        <f aca="false">IF(A31=1,Orders1,IF(A31=2,Orders2,OrdersSteady))</f>
        <v>80</v>
      </c>
      <c r="C31" s="14" t="n">
        <f aca="false">B31*AOV</f>
        <v>208000</v>
      </c>
      <c r="D31" s="14" t="n">
        <f aca="false">C31*Margin</f>
        <v>93600</v>
      </c>
      <c r="E31" s="14" t="n">
        <f aca="false">SUM($C$2:C31)</f>
        <v>5954000</v>
      </c>
      <c r="F31" s="14" t="n">
        <f aca="false">SUM($D$2:D31)</f>
        <v>2679300</v>
      </c>
      <c r="G31" s="14" t="n">
        <f aca="false">LaunchCost+MonthlyCost*A31</f>
        <v>2260000</v>
      </c>
      <c r="H31" s="14" t="n">
        <f aca="false">F31-G31</f>
        <v>419300</v>
      </c>
    </row>
    <row r="32" customFormat="false" ht="15" hidden="false" customHeight="false" outlineLevel="0" collapsed="false">
      <c r="A32" s="3" t="n">
        <v>31</v>
      </c>
      <c r="B32" s="5" t="n">
        <f aca="false">IF(A32=1,Orders1,IF(A32=2,Orders2,OrdersSteady))</f>
        <v>80</v>
      </c>
      <c r="C32" s="14" t="n">
        <f aca="false">B32*AOV</f>
        <v>208000</v>
      </c>
      <c r="D32" s="14" t="n">
        <f aca="false">C32*Margin</f>
        <v>93600</v>
      </c>
      <c r="E32" s="14" t="n">
        <f aca="false">SUM($C$2:C32)</f>
        <v>6162000</v>
      </c>
      <c r="F32" s="14" t="n">
        <f aca="false">SUM($D$2:D32)</f>
        <v>2772900</v>
      </c>
      <c r="G32" s="14" t="n">
        <f aca="false">LaunchCost+MonthlyCost*A32</f>
        <v>2300000</v>
      </c>
      <c r="H32" s="14" t="n">
        <f aca="false">F32-G32</f>
        <v>472900</v>
      </c>
    </row>
    <row r="33" customFormat="false" ht="15" hidden="false" customHeight="false" outlineLevel="0" collapsed="false">
      <c r="A33" s="3" t="n">
        <v>32</v>
      </c>
      <c r="B33" s="5" t="n">
        <f aca="false">IF(A33=1,Orders1,IF(A33=2,Orders2,OrdersSteady))</f>
        <v>80</v>
      </c>
      <c r="C33" s="14" t="n">
        <f aca="false">B33*AOV</f>
        <v>208000</v>
      </c>
      <c r="D33" s="14" t="n">
        <f aca="false">C33*Margin</f>
        <v>93600</v>
      </c>
      <c r="E33" s="14" t="n">
        <f aca="false">SUM($C$2:C33)</f>
        <v>6370000</v>
      </c>
      <c r="F33" s="14" t="n">
        <f aca="false">SUM($D$2:D33)</f>
        <v>2866500</v>
      </c>
      <c r="G33" s="14" t="n">
        <f aca="false">LaunchCost+MonthlyCost*A33</f>
        <v>2340000</v>
      </c>
      <c r="H33" s="14" t="n">
        <f aca="false">F33-G33</f>
        <v>526500</v>
      </c>
    </row>
    <row r="34" customFormat="false" ht="15" hidden="false" customHeight="false" outlineLevel="0" collapsed="false">
      <c r="A34" s="3" t="n">
        <v>33</v>
      </c>
      <c r="B34" s="5" t="n">
        <f aca="false">IF(A34=1,Orders1,IF(A34=2,Orders2,OrdersSteady))</f>
        <v>80</v>
      </c>
      <c r="C34" s="14" t="n">
        <f aca="false">B34*AOV</f>
        <v>208000</v>
      </c>
      <c r="D34" s="14" t="n">
        <f aca="false">C34*Margin</f>
        <v>93600</v>
      </c>
      <c r="E34" s="14" t="n">
        <f aca="false">SUM($C$2:C34)</f>
        <v>6578000</v>
      </c>
      <c r="F34" s="14" t="n">
        <f aca="false">SUM($D$2:D34)</f>
        <v>2960100</v>
      </c>
      <c r="G34" s="14" t="n">
        <f aca="false">LaunchCost+MonthlyCost*A34</f>
        <v>2380000</v>
      </c>
      <c r="H34" s="14" t="n">
        <f aca="false">F34-G34</f>
        <v>580100</v>
      </c>
    </row>
    <row r="35" customFormat="false" ht="15" hidden="false" customHeight="false" outlineLevel="0" collapsed="false">
      <c r="A35" s="3" t="n">
        <v>34</v>
      </c>
      <c r="B35" s="5" t="n">
        <f aca="false">IF(A35=1,Orders1,IF(A35=2,Orders2,OrdersSteady))</f>
        <v>80</v>
      </c>
      <c r="C35" s="14" t="n">
        <f aca="false">B35*AOV</f>
        <v>208000</v>
      </c>
      <c r="D35" s="14" t="n">
        <f aca="false">C35*Margin</f>
        <v>93600</v>
      </c>
      <c r="E35" s="14" t="n">
        <f aca="false">SUM($C$2:C35)</f>
        <v>6786000</v>
      </c>
      <c r="F35" s="14" t="n">
        <f aca="false">SUM($D$2:D35)</f>
        <v>3053700</v>
      </c>
      <c r="G35" s="14" t="n">
        <f aca="false">LaunchCost+MonthlyCost*A35</f>
        <v>2420000</v>
      </c>
      <c r="H35" s="14" t="n">
        <f aca="false">F35-G35</f>
        <v>633700</v>
      </c>
    </row>
    <row r="36" customFormat="false" ht="15" hidden="false" customHeight="false" outlineLevel="0" collapsed="false">
      <c r="A36" s="3" t="n">
        <v>35</v>
      </c>
      <c r="B36" s="5" t="n">
        <f aca="false">IF(A36=1,Orders1,IF(A36=2,Orders2,OrdersSteady))</f>
        <v>80</v>
      </c>
      <c r="C36" s="14" t="n">
        <f aca="false">B36*AOV</f>
        <v>208000</v>
      </c>
      <c r="D36" s="14" t="n">
        <f aca="false">C36*Margin</f>
        <v>93600</v>
      </c>
      <c r="E36" s="14" t="n">
        <f aca="false">SUM($C$2:C36)</f>
        <v>6994000</v>
      </c>
      <c r="F36" s="14" t="n">
        <f aca="false">SUM($D$2:D36)</f>
        <v>3147300</v>
      </c>
      <c r="G36" s="14" t="n">
        <f aca="false">LaunchCost+MonthlyCost*A36</f>
        <v>2460000</v>
      </c>
      <c r="H36" s="14" t="n">
        <f aca="false">F36-G36</f>
        <v>687300</v>
      </c>
    </row>
    <row r="37" customFormat="false" ht="15" hidden="false" customHeight="false" outlineLevel="0" collapsed="false">
      <c r="A37" s="3" t="n">
        <v>36</v>
      </c>
      <c r="B37" s="5" t="n">
        <f aca="false">IF(A37=1,Orders1,IF(A37=2,Orders2,OrdersSteady))</f>
        <v>80</v>
      </c>
      <c r="C37" s="14" t="n">
        <f aca="false">B37*AOV</f>
        <v>208000</v>
      </c>
      <c r="D37" s="14" t="n">
        <f aca="false">C37*Margin</f>
        <v>93600</v>
      </c>
      <c r="E37" s="14" t="n">
        <f aca="false">SUM($C$2:C37)</f>
        <v>7202000</v>
      </c>
      <c r="F37" s="14" t="n">
        <f aca="false">SUM($D$2:D37)</f>
        <v>3240900</v>
      </c>
      <c r="G37" s="14" t="n">
        <f aca="false">LaunchCost+MonthlyCost*A37</f>
        <v>2500000</v>
      </c>
      <c r="H37" s="14" t="n">
        <f aca="false">F37-G37</f>
        <v>740900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2"/>
  </cols>
  <sheetData>
    <row r="1" customFormat="false" ht="15" hidden="false" customHeight="false" outlineLevel="0" collapsed="false">
      <c r="A1" s="6" t="s">
        <v>29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15" t="s">
        <v>30</v>
      </c>
      <c r="B4" s="16" t="n">
        <v>2000</v>
      </c>
      <c r="C4" s="16" t="n">
        <v>2300</v>
      </c>
      <c r="D4" s="16" t="n">
        <v>2600</v>
      </c>
      <c r="E4" s="16" t="n">
        <v>2900</v>
      </c>
      <c r="F4" s="16" t="n">
        <v>3200</v>
      </c>
    </row>
    <row r="5" customFormat="false" ht="15" hidden="false" customHeight="false" outlineLevel="0" collapsed="false">
      <c r="A5" s="6" t="n">
        <v>50</v>
      </c>
      <c r="B5" s="3" t="n">
        <f aca="false">IF(Orders1*B$4*Margin&gt;=LaunchCost+MonthlyCost,1,IF((Orders1+Orders2)*B$4*Margin&gt;=LaunchCost+2*MonthlyCost,2,IF($A5*B$4*Margin&lt;=MonthlyCost,"Never",MAX(3,ROUNDUP((LaunchCost-(Orders1+Orders2)*B$4*Margin+2*$A5*B$4*Margin)/($A5*B$4*Margin-MonthlyCost)-0.000000001,0)))))</f>
        <v>221</v>
      </c>
      <c r="C5" s="3" t="n">
        <f aca="false">IF(Orders1*C$4*Margin&gt;=LaunchCost+MonthlyCost,1,IF((Orders1+Orders2)*C$4*Margin&gt;=LaunchCost+2*MonthlyCost,2,IF($A5*C$4*Margin&lt;=MonthlyCost,"Never",MAX(3,ROUNDUP((LaunchCost-(Orders1+Orders2)*C$4*Margin+2*$A5*C$4*Margin)/($A5*C$4*Margin-MonthlyCost)-0.000000001,0)))))</f>
        <v>95</v>
      </c>
      <c r="D5" s="3" t="n">
        <f aca="false">IF(Orders1*D$4*Margin&gt;=LaunchCost+MonthlyCost,1,IF((Orders1+Orders2)*D$4*Margin&gt;=LaunchCost+2*MonthlyCost,2,IF($A5*D$4*Margin&lt;=MonthlyCost,"Never",MAX(3,ROUNDUP((LaunchCost-(Orders1+Orders2)*D$4*Margin+2*$A5*D$4*Margin)/($A5*D$4*Margin-MonthlyCost)-0.000000001,0)))))</f>
        <v>61</v>
      </c>
      <c r="E5" s="3" t="n">
        <f aca="false">IF(Orders1*E$4*Margin&gt;=LaunchCost+MonthlyCost,1,IF((Orders1+Orders2)*E$4*Margin&gt;=LaunchCost+2*MonthlyCost,2,IF($A5*E$4*Margin&lt;=MonthlyCost,"Never",MAX(3,ROUNDUP((LaunchCost-(Orders1+Orders2)*E$4*Margin+2*$A5*E$4*Margin)/($A5*E$4*Margin-MonthlyCost)-0.000000001,0)))))</f>
        <v>45</v>
      </c>
      <c r="F5" s="3" t="n">
        <f aca="false">IF(Orders1*F$4*Margin&gt;=LaunchCost+MonthlyCost,1,IF((Orders1+Orders2)*F$4*Margin&gt;=LaunchCost+2*MonthlyCost,2,IF($A5*F$4*Margin&lt;=MonthlyCost,"Never",MAX(3,ROUNDUP((LaunchCost-(Orders1+Orders2)*F$4*Margin+2*$A5*F$4*Margin)/($A5*F$4*Margin-MonthlyCost)-0.000000001,0)))))</f>
        <v>36</v>
      </c>
    </row>
    <row r="6" customFormat="false" ht="15" hidden="false" customHeight="false" outlineLevel="0" collapsed="false">
      <c r="A6" s="6" t="n">
        <v>60</v>
      </c>
      <c r="B6" s="3" t="n">
        <f aca="false">IF(Orders1*B$4*Margin&gt;=LaunchCost+MonthlyCost,1,IF((Orders1+Orders2)*B$4*Margin&gt;=LaunchCost+2*MonthlyCost,2,IF($A6*B$4*Margin&lt;=MonthlyCost,"Never",MAX(3,ROUNDUP((LaunchCost-(Orders1+Orders2)*B$4*Margin+2*$A6*B$4*Margin)/($A6*B$4*Margin-MonthlyCost)-0.000000001,0)))))</f>
        <v>81</v>
      </c>
      <c r="C6" s="3" t="n">
        <f aca="false">IF(Orders1*C$4*Margin&gt;=LaunchCost+MonthlyCost,1,IF((Orders1+Orders2)*C$4*Margin&gt;=LaunchCost+2*MonthlyCost,2,IF($A6*C$4*Margin&lt;=MonthlyCost,"Never",MAX(3,ROUNDUP((LaunchCost-(Orders1+Orders2)*C$4*Margin+2*$A6*C$4*Margin)/($A6*C$4*Margin-MonthlyCost)-0.000000001,0)))))</f>
        <v>52</v>
      </c>
      <c r="D6" s="3" t="n">
        <f aca="false">IF(Orders1*D$4*Margin&gt;=LaunchCost+MonthlyCost,1,IF((Orders1+Orders2)*D$4*Margin&gt;=LaunchCost+2*MonthlyCost,2,IF($A6*D$4*Margin&lt;=MonthlyCost,"Never",MAX(3,ROUNDUP((LaunchCost-(Orders1+Orders2)*D$4*Margin+2*$A6*D$4*Margin)/($A6*D$4*Margin-MonthlyCost)-0.000000001,0)))))</f>
        <v>38</v>
      </c>
      <c r="E6" s="3" t="n">
        <f aca="false">IF(Orders1*E$4*Margin&gt;=LaunchCost+MonthlyCost,1,IF((Orders1+Orders2)*E$4*Margin&gt;=LaunchCost+2*MonthlyCost,2,IF($A6*E$4*Margin&lt;=MonthlyCost,"Never",MAX(3,ROUNDUP((LaunchCost-(Orders1+Orders2)*E$4*Margin+2*$A6*E$4*Margin)/($A6*E$4*Margin-MonthlyCost)-0.000000001,0)))))</f>
        <v>31</v>
      </c>
      <c r="F6" s="3" t="n">
        <f aca="false">IF(Orders1*F$4*Margin&gt;=LaunchCost+MonthlyCost,1,IF((Orders1+Orders2)*F$4*Margin&gt;=LaunchCost+2*MonthlyCost,2,IF($A6*F$4*Margin&lt;=MonthlyCost,"Never",MAX(3,ROUNDUP((LaunchCost-(Orders1+Orders2)*F$4*Margin+2*$A6*F$4*Margin)/($A6*F$4*Margin-MonthlyCost)-0.000000001,0)))))</f>
        <v>26</v>
      </c>
    </row>
    <row r="7" customFormat="false" ht="15" hidden="false" customHeight="false" outlineLevel="0" collapsed="false">
      <c r="A7" s="6" t="n">
        <v>70</v>
      </c>
      <c r="B7" s="3" t="n">
        <f aca="false">IF(Orders1*B$4*Margin&gt;=LaunchCost+MonthlyCost,1,IF((Orders1+Orders2)*B$4*Margin&gt;=LaunchCost+2*MonthlyCost,2,IF($A7*B$4*Margin&lt;=MonthlyCost,"Never",MAX(3,ROUNDUP((LaunchCost-(Orders1+Orders2)*B$4*Margin+2*$A7*B$4*Margin)/($A7*B$4*Margin-MonthlyCost)-0.000000001,0)))))</f>
        <v>50</v>
      </c>
      <c r="C7" s="3" t="n">
        <f aca="false">IF(Orders1*C$4*Margin&gt;=LaunchCost+MonthlyCost,1,IF((Orders1+Orders2)*C$4*Margin&gt;=LaunchCost+2*MonthlyCost,2,IF($A7*C$4*Margin&lt;=MonthlyCost,"Never",MAX(3,ROUNDUP((LaunchCost-(Orders1+Orders2)*C$4*Margin+2*$A7*C$4*Margin)/($A7*C$4*Margin-MonthlyCost)-0.000000001,0)))))</f>
        <v>36</v>
      </c>
      <c r="D7" s="3" t="n">
        <f aca="false">IF(Orders1*D$4*Margin&gt;=LaunchCost+MonthlyCost,1,IF((Orders1+Orders2)*D$4*Margin&gt;=LaunchCost+2*MonthlyCost,2,IF($A7*D$4*Margin&lt;=MonthlyCost,"Never",MAX(3,ROUNDUP((LaunchCost-(Orders1+Orders2)*D$4*Margin+2*$A7*D$4*Margin)/($A7*D$4*Margin-MonthlyCost)-0.000000001,0)))))</f>
        <v>28</v>
      </c>
      <c r="E7" s="3" t="n">
        <f aca="false">IF(Orders1*E$4*Margin&gt;=LaunchCost+MonthlyCost,1,IF((Orders1+Orders2)*E$4*Margin&gt;=LaunchCost+2*MonthlyCost,2,IF($A7*E$4*Margin&lt;=MonthlyCost,"Never",MAX(3,ROUNDUP((LaunchCost-(Orders1+Orders2)*E$4*Margin+2*$A7*E$4*Margin)/($A7*E$4*Margin-MonthlyCost)-0.000000001,0)))))</f>
        <v>23</v>
      </c>
      <c r="F7" s="3" t="n">
        <f aca="false">IF(Orders1*F$4*Margin&gt;=LaunchCost+MonthlyCost,1,IF((Orders1+Orders2)*F$4*Margin&gt;=LaunchCost+2*MonthlyCost,2,IF($A7*F$4*Margin&lt;=MonthlyCost,"Never",MAX(3,ROUNDUP((LaunchCost-(Orders1+Orders2)*F$4*Margin+2*$A7*F$4*Margin)/($A7*F$4*Margin-MonthlyCost)-0.000000001,0)))))</f>
        <v>20</v>
      </c>
    </row>
    <row r="8" customFormat="false" ht="15" hidden="false" customHeight="false" outlineLevel="0" collapsed="false">
      <c r="A8" s="6" t="n">
        <v>80</v>
      </c>
      <c r="B8" s="3" t="n">
        <f aca="false">IF(Orders1*B$4*Margin&gt;=LaunchCost+MonthlyCost,1,IF((Orders1+Orders2)*B$4*Margin&gt;=LaunchCost+2*MonthlyCost,2,IF($A8*B$4*Margin&lt;=MonthlyCost,"Never",MAX(3,ROUNDUP((LaunchCost-(Orders1+Orders2)*B$4*Margin+2*$A8*B$4*Margin)/($A8*B$4*Margin-MonthlyCost)-0.000000001,0)))))</f>
        <v>37</v>
      </c>
      <c r="C8" s="3" t="n">
        <f aca="false">IF(Orders1*C$4*Margin&gt;=LaunchCost+MonthlyCost,1,IF((Orders1+Orders2)*C$4*Margin&gt;=LaunchCost+2*MonthlyCost,2,IF($A8*C$4*Margin&lt;=MonthlyCost,"Never",MAX(3,ROUNDUP((LaunchCost-(Orders1+Orders2)*C$4*Margin+2*$A8*C$4*Margin)/($A8*C$4*Margin-MonthlyCost)-0.000000001,0)))))</f>
        <v>28</v>
      </c>
      <c r="D8" s="3" t="n">
        <f aca="false">IF(Orders1*D$4*Margin&gt;=LaunchCost+MonthlyCost,1,IF((Orders1+Orders2)*D$4*Margin&gt;=LaunchCost+2*MonthlyCost,2,IF($A8*D$4*Margin&lt;=MonthlyCost,"Never",MAX(3,ROUNDUP((LaunchCost-(Orders1+Orders2)*D$4*Margin+2*$A8*D$4*Margin)/($A8*D$4*Margin-MonthlyCost)-0.000000001,0)))))</f>
        <v>23</v>
      </c>
      <c r="E8" s="3" t="n">
        <f aca="false">IF(Orders1*E$4*Margin&gt;=LaunchCost+MonthlyCost,1,IF((Orders1+Orders2)*E$4*Margin&gt;=LaunchCost+2*MonthlyCost,2,IF($A8*E$4*Margin&lt;=MonthlyCost,"Never",MAX(3,ROUNDUP((LaunchCost-(Orders1+Orders2)*E$4*Margin+2*$A8*E$4*Margin)/($A8*E$4*Margin-MonthlyCost)-0.000000001,0)))))</f>
        <v>19</v>
      </c>
      <c r="F8" s="3" t="n">
        <f aca="false">IF(Orders1*F$4*Margin&gt;=LaunchCost+MonthlyCost,1,IF((Orders1+Orders2)*F$4*Margin&gt;=LaunchCost+2*MonthlyCost,2,IF($A8*F$4*Margin&lt;=MonthlyCost,"Never",MAX(3,ROUNDUP((LaunchCost-(Orders1+Orders2)*F$4*Margin+2*$A8*F$4*Margin)/($A8*F$4*Margin-MonthlyCost)-0.000000001,0)))))</f>
        <v>17</v>
      </c>
    </row>
    <row r="9" customFormat="false" ht="15" hidden="false" customHeight="false" outlineLevel="0" collapsed="false">
      <c r="A9" s="6" t="n">
        <v>90</v>
      </c>
      <c r="B9" s="3" t="n">
        <f aca="false">IF(Orders1*B$4*Margin&gt;=LaunchCost+MonthlyCost,1,IF((Orders1+Orders2)*B$4*Margin&gt;=LaunchCost+2*MonthlyCost,2,IF($A9*B$4*Margin&lt;=MonthlyCost,"Never",MAX(3,ROUNDUP((LaunchCost-(Orders1+Orders2)*B$4*Margin+2*$A9*B$4*Margin)/($A9*B$4*Margin-MonthlyCost)-0.000000001,0)))))</f>
        <v>29</v>
      </c>
      <c r="C9" s="3" t="n">
        <f aca="false">IF(Orders1*C$4*Margin&gt;=LaunchCost+MonthlyCost,1,IF((Orders1+Orders2)*C$4*Margin&gt;=LaunchCost+2*MonthlyCost,2,IF($A9*C$4*Margin&lt;=MonthlyCost,"Never",MAX(3,ROUNDUP((LaunchCost-(Orders1+Orders2)*C$4*Margin+2*$A9*C$4*Margin)/($A9*C$4*Margin-MonthlyCost)-0.000000001,0)))))</f>
        <v>23</v>
      </c>
      <c r="D9" s="3" t="n">
        <f aca="false">IF(Orders1*D$4*Margin&gt;=LaunchCost+MonthlyCost,1,IF((Orders1+Orders2)*D$4*Margin&gt;=LaunchCost+2*MonthlyCost,2,IF($A9*D$4*Margin&lt;=MonthlyCost,"Never",MAX(3,ROUNDUP((LaunchCost-(Orders1+Orders2)*D$4*Margin+2*$A9*D$4*Margin)/($A9*D$4*Margin-MonthlyCost)-0.000000001,0)))))</f>
        <v>19</v>
      </c>
      <c r="E9" s="3" t="n">
        <f aca="false">IF(Orders1*E$4*Margin&gt;=LaunchCost+MonthlyCost,1,IF((Orders1+Orders2)*E$4*Margin&gt;=LaunchCost+2*MonthlyCost,2,IF($A9*E$4*Margin&lt;=MonthlyCost,"Never",MAX(3,ROUNDUP((LaunchCost-(Orders1+Orders2)*E$4*Margin+2*$A9*E$4*Margin)/($A9*E$4*Margin-MonthlyCost)-0.000000001,0)))))</f>
        <v>16</v>
      </c>
      <c r="F9" s="3" t="n">
        <f aca="false">IF(Orders1*F$4*Margin&gt;=LaunchCost+MonthlyCost,1,IF((Orders1+Orders2)*F$4*Margin&gt;=LaunchCost+2*MonthlyCost,2,IF($A9*F$4*Margin&lt;=MonthlyCost,"Never",MAX(3,ROUNDUP((LaunchCost-(Orders1+Orders2)*F$4*Margin+2*$A9*F$4*Margin)/($A9*F$4*Margin-MonthlyCost)-0.000000001,0)))))</f>
        <v>14</v>
      </c>
    </row>
    <row r="10" customFormat="false" ht="15" hidden="false" customHeight="false" outlineLevel="0" collapsed="false">
      <c r="A10" s="6" t="n">
        <v>100</v>
      </c>
      <c r="B10" s="3" t="n">
        <f aca="false">IF(Orders1*B$4*Margin&gt;=LaunchCost+MonthlyCost,1,IF((Orders1+Orders2)*B$4*Margin&gt;=LaunchCost+2*MonthlyCost,2,IF($A10*B$4*Margin&lt;=MonthlyCost,"Never",MAX(3,ROUNDUP((LaunchCost-(Orders1+Orders2)*B$4*Margin+2*$A10*B$4*Margin)/($A10*B$4*Margin-MonthlyCost)-0.000000001,0)))))</f>
        <v>24</v>
      </c>
      <c r="C10" s="3" t="n">
        <f aca="false">IF(Orders1*C$4*Margin&gt;=LaunchCost+MonthlyCost,1,IF((Orders1+Orders2)*C$4*Margin&gt;=LaunchCost+2*MonthlyCost,2,IF($A10*C$4*Margin&lt;=MonthlyCost,"Never",MAX(3,ROUNDUP((LaunchCost-(Orders1+Orders2)*C$4*Margin+2*$A10*C$4*Margin)/($A10*C$4*Margin-MonthlyCost)-0.000000001,0)))))</f>
        <v>20</v>
      </c>
      <c r="D10" s="3" t="n">
        <f aca="false">IF(Orders1*D$4*Margin&gt;=LaunchCost+MonthlyCost,1,IF((Orders1+Orders2)*D$4*Margin&gt;=LaunchCost+2*MonthlyCost,2,IF($A10*D$4*Margin&lt;=MonthlyCost,"Never",MAX(3,ROUNDUP((LaunchCost-(Orders1+Orders2)*D$4*Margin+2*$A10*D$4*Margin)/($A10*D$4*Margin-MonthlyCost)-0.000000001,0)))))</f>
        <v>17</v>
      </c>
      <c r="E10" s="3" t="n">
        <f aca="false">IF(Orders1*E$4*Margin&gt;=LaunchCost+MonthlyCost,1,IF((Orders1+Orders2)*E$4*Margin&gt;=LaunchCost+2*MonthlyCost,2,IF($A10*E$4*Margin&lt;=MonthlyCost,"Never",MAX(3,ROUNDUP((LaunchCost-(Orders1+Orders2)*E$4*Margin+2*$A10*E$4*Margin)/($A10*E$4*Margin-MonthlyCost)-0.000000001,0)))))</f>
        <v>14</v>
      </c>
      <c r="F10" s="3" t="n">
        <f aca="false">IF(Orders1*F$4*Margin&gt;=LaunchCost+MonthlyCost,1,IF((Orders1+Orders2)*F$4*Margin&gt;=LaunchCost+2*MonthlyCost,2,IF($A10*F$4*Margin&lt;=MonthlyCost,"Never",MAX(3,ROUNDUP((LaunchCost-(Orders1+Orders2)*F$4*Margin+2*$A10*F$4*Margin)/($A10*F$4*Margin-MonthlyCost)-0.000000001,0)))))</f>
        <v>13</v>
      </c>
    </row>
    <row r="11" customFormat="false" ht="15" hidden="false" customHeight="false" outlineLevel="0" collapsed="false">
      <c r="A11" s="6" t="n">
        <v>120</v>
      </c>
      <c r="B11" s="3" t="n">
        <f aca="false">IF(Orders1*B$4*Margin&gt;=LaunchCost+MonthlyCost,1,IF((Orders1+Orders2)*B$4*Margin&gt;=LaunchCost+2*MonthlyCost,2,IF($A11*B$4*Margin&lt;=MonthlyCost,"Never",MAX(3,ROUNDUP((LaunchCost-(Orders1+Orders2)*B$4*Margin+2*$A11*B$4*Margin)/($A11*B$4*Margin-MonthlyCost)-0.000000001,0)))))</f>
        <v>19</v>
      </c>
      <c r="C11" s="3" t="n">
        <f aca="false">IF(Orders1*C$4*Margin&gt;=LaunchCost+MonthlyCost,1,IF((Orders1+Orders2)*C$4*Margin&gt;=LaunchCost+2*MonthlyCost,2,IF($A11*C$4*Margin&lt;=MonthlyCost,"Never",MAX(3,ROUNDUP((LaunchCost-(Orders1+Orders2)*C$4*Margin+2*$A11*C$4*Margin)/($A11*C$4*Margin-MonthlyCost)-0.000000001,0)))))</f>
        <v>15</v>
      </c>
      <c r="D11" s="3" t="n">
        <f aca="false">IF(Orders1*D$4*Margin&gt;=LaunchCost+MonthlyCost,1,IF((Orders1+Orders2)*D$4*Margin&gt;=LaunchCost+2*MonthlyCost,2,IF($A11*D$4*Margin&lt;=MonthlyCost,"Never",MAX(3,ROUNDUP((LaunchCost-(Orders1+Orders2)*D$4*Margin+2*$A11*D$4*Margin)/($A11*D$4*Margin-MonthlyCost)-0.000000001,0)))))</f>
        <v>13</v>
      </c>
      <c r="E11" s="3" t="n">
        <f aca="false">IF(Orders1*E$4*Margin&gt;=LaunchCost+MonthlyCost,1,IF((Orders1+Orders2)*E$4*Margin&gt;=LaunchCost+2*MonthlyCost,2,IF($A11*E$4*Margin&lt;=MonthlyCost,"Never",MAX(3,ROUNDUP((LaunchCost-(Orders1+Orders2)*E$4*Margin+2*$A11*E$4*Margin)/($A11*E$4*Margin-MonthlyCost)-0.000000001,0)))))</f>
        <v>12</v>
      </c>
      <c r="F11" s="3" t="n">
        <f aca="false">IF(Orders1*F$4*Margin&gt;=LaunchCost+MonthlyCost,1,IF((Orders1+Orders2)*F$4*Margin&gt;=LaunchCost+2*MonthlyCost,2,IF($A11*F$4*Margin&lt;=MonthlyCost,"Never",MAX(3,ROUNDUP((LaunchCost-(Orders1+Orders2)*F$4*Margin+2*$A11*F$4*Margin)/($A11*F$4*Margin-MonthlyCost)-0.000000001,0)))))</f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2026-10-07T03:07:43Z</dcterms:created>
  <dc:creator>openpyxl</dc:creator>
  <dc:description/>
  <dc:language>en-US</dc:language>
  <cp:lastModifiedBy/>
  <dcterms:modified xsi:type="dcterms:W3CDTF">2026-10-07T03:07:43Z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